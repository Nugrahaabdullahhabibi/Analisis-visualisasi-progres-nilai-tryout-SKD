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717466E350A3960/Documents/"/>
    </mc:Choice>
  </mc:AlternateContent>
  <xr:revisionPtr revIDLastSave="0" documentId="8_{BDB25567-CF60-44CD-99BE-8B21424D183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 &amp; Summary" sheetId="1" r:id="rId1"/>
    <sheet name="Data SK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2" l="1"/>
  <c r="I6" i="2"/>
  <c r="J6" i="2"/>
  <c r="K6" i="2"/>
  <c r="H7" i="2"/>
  <c r="I7" i="2"/>
  <c r="J7" i="2"/>
  <c r="K7" i="2"/>
  <c r="H8" i="2"/>
  <c r="I8" i="2"/>
  <c r="J8" i="2"/>
  <c r="K8" i="2"/>
  <c r="H9" i="2"/>
  <c r="K9" i="2" s="1"/>
  <c r="I9" i="2"/>
  <c r="J9" i="2"/>
  <c r="H10" i="2"/>
  <c r="I10" i="2"/>
  <c r="J10" i="2"/>
  <c r="K10" i="2"/>
  <c r="H11" i="2"/>
  <c r="I11" i="2"/>
  <c r="J11" i="2"/>
  <c r="K11" i="2"/>
  <c r="H12" i="2"/>
  <c r="K12" i="2" s="1"/>
  <c r="I12" i="2"/>
  <c r="J12" i="2"/>
  <c r="H13" i="2"/>
  <c r="I13" i="2"/>
  <c r="J13" i="2"/>
  <c r="K13" i="2"/>
  <c r="H14" i="2"/>
  <c r="I14" i="2"/>
  <c r="J14" i="2"/>
  <c r="K14" i="2"/>
  <c r="H15" i="2"/>
  <c r="K15" i="2" s="1"/>
  <c r="I15" i="2"/>
  <c r="J15" i="2"/>
  <c r="H16" i="2"/>
  <c r="I16" i="2"/>
  <c r="J16" i="2"/>
  <c r="K16" i="2"/>
  <c r="H17" i="2"/>
  <c r="I17" i="2"/>
  <c r="J17" i="2"/>
  <c r="K17" i="2"/>
  <c r="H18" i="2"/>
  <c r="I18" i="2"/>
  <c r="K18" i="2" s="1"/>
  <c r="J18" i="2"/>
  <c r="H19" i="2"/>
  <c r="I19" i="2"/>
  <c r="J19" i="2"/>
  <c r="K19" i="2"/>
  <c r="H20" i="2"/>
  <c r="I20" i="2"/>
  <c r="J20" i="2"/>
  <c r="K20" i="2"/>
  <c r="H21" i="2"/>
  <c r="I21" i="2"/>
  <c r="J21" i="2"/>
  <c r="K21" i="2"/>
  <c r="H22" i="2"/>
  <c r="I22" i="2"/>
  <c r="J22" i="2"/>
  <c r="K22" i="2" s="1"/>
  <c r="H23" i="2"/>
  <c r="I23" i="2"/>
  <c r="J23" i="2"/>
  <c r="K23" i="2"/>
  <c r="H24" i="2"/>
  <c r="K24" i="2" s="1"/>
  <c r="I24" i="2"/>
  <c r="J24" i="2"/>
  <c r="H25" i="2"/>
  <c r="I25" i="2"/>
  <c r="J25" i="2"/>
  <c r="K25" i="2"/>
  <c r="H26" i="2"/>
  <c r="K26" i="2" s="1"/>
  <c r="I26" i="2"/>
  <c r="J26" i="2"/>
  <c r="H27" i="2"/>
  <c r="I27" i="2"/>
  <c r="J27" i="2"/>
  <c r="K27" i="2"/>
  <c r="H28" i="2"/>
  <c r="K28" i="2" s="1"/>
  <c r="I28" i="2"/>
  <c r="J28" i="2"/>
  <c r="H29" i="2"/>
  <c r="K29" i="2" s="1"/>
  <c r="I29" i="2"/>
  <c r="J29" i="2"/>
  <c r="H30" i="2"/>
  <c r="K30" i="2" s="1"/>
  <c r="I30" i="2"/>
  <c r="J30" i="2"/>
  <c r="H31" i="2"/>
  <c r="I31" i="2"/>
  <c r="J31" i="2"/>
  <c r="K31" i="2"/>
  <c r="H32" i="2"/>
  <c r="K32" i="2" s="1"/>
  <c r="I32" i="2"/>
  <c r="J32" i="2"/>
  <c r="H33" i="2"/>
  <c r="K33" i="2" s="1"/>
  <c r="I33" i="2"/>
  <c r="J33" i="2"/>
  <c r="H34" i="2"/>
  <c r="K34" i="2" s="1"/>
  <c r="I34" i="2"/>
  <c r="J34" i="2"/>
  <c r="H35" i="2"/>
  <c r="K35" i="2" s="1"/>
  <c r="I35" i="2"/>
  <c r="J35" i="2"/>
  <c r="F36" i="2"/>
  <c r="E36" i="2"/>
  <c r="D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36" i="2" s="1"/>
  <c r="E6" i="1" s="1"/>
  <c r="H6" i="1"/>
  <c r="B6" i="1"/>
</calcChain>
</file>

<file path=xl/sharedStrings.xml><?xml version="1.0" encoding="utf-8"?>
<sst xmlns="http://schemas.openxmlformats.org/spreadsheetml/2006/main" count="48" uniqueCount="48">
  <si>
    <t>LAPORAN DASHBOARD EVALUASI MANDIRI SKD</t>
  </si>
  <si>
    <t>Ringkasan Perkembangan Nilai &amp; Pencapaian Target</t>
  </si>
  <si>
    <t>TOTAL TRYOUT</t>
  </si>
  <si>
    <t>RATA-RATA SCORE</t>
  </si>
  <si>
    <t>SKOR TERTINGGI</t>
  </si>
  <si>
    <t>No</t>
  </si>
  <si>
    <t>Nama SKD / Tryout</t>
  </si>
  <si>
    <t>Tanggal</t>
  </si>
  <si>
    <t>TWK</t>
  </si>
  <si>
    <t>TIU</t>
  </si>
  <si>
    <t>TKP</t>
  </si>
  <si>
    <t>Total Score</t>
  </si>
  <si>
    <t>Target TWK (&gt;=115)</t>
  </si>
  <si>
    <t>Target TIU (&gt;=120)</t>
  </si>
  <si>
    <t>Target TKP (&gt;=205)</t>
  </si>
  <si>
    <t>Status Target</t>
  </si>
  <si>
    <t>FA [1]</t>
  </si>
  <si>
    <t>FA [2]</t>
  </si>
  <si>
    <t>FA [3]</t>
  </si>
  <si>
    <t>FA (4)</t>
  </si>
  <si>
    <t>Al Faiz [27]</t>
  </si>
  <si>
    <t>Al Faiz [28]</t>
  </si>
  <si>
    <t>Al Faiz [29]</t>
  </si>
  <si>
    <t>FA (6)</t>
  </si>
  <si>
    <t>FA (7)</t>
  </si>
  <si>
    <t>Al-Faiz [17]</t>
  </si>
  <si>
    <t>Al-Faiz (18)</t>
  </si>
  <si>
    <t>Al-Faiz (19)</t>
  </si>
  <si>
    <t>Al-Faiz 2 (21)</t>
  </si>
  <si>
    <t>Al-Faiz (22)</t>
  </si>
  <si>
    <t>FA (8)</t>
  </si>
  <si>
    <t>Al-Faiz (23)</t>
  </si>
  <si>
    <t>Al-Faiz (24)</t>
  </si>
  <si>
    <t>FA (9)</t>
  </si>
  <si>
    <t>Al-Faiz (25)</t>
  </si>
  <si>
    <t>Al-Faiz (26)</t>
  </si>
  <si>
    <t>Al-Faiz (9)</t>
  </si>
  <si>
    <t>Al-Faiz (10)</t>
  </si>
  <si>
    <t>Al-Faiz (11)</t>
  </si>
  <si>
    <t>Al-Faiz (12)</t>
  </si>
  <si>
    <t>Al-Faiz (13)</t>
  </si>
  <si>
    <t>Al-Faiz (08)</t>
  </si>
  <si>
    <t>Al-Faiz (14)</t>
  </si>
  <si>
    <t>Al-Faiz (15)</t>
  </si>
  <si>
    <t>Al-Faiz (16)</t>
  </si>
  <si>
    <t>Al-Faiz (30)</t>
  </si>
  <si>
    <t>Rata-Rata</t>
  </si>
  <si>
    <t>Tabel Hasil Try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</si>
</sst>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"/>
  </numFmts>
  <fonts count="9" x14ac:knownFonts="1">
    <font>
      <sz val="11"/>
      <color theme="1"/>
      <name val="Calibri"/>
      <family val="2"/>
      <scheme val="minor"/>
    </font>
    <font>
      <b/>
      <sz val="14"/>
      <color rgb="FF1B365D"/>
      <name val="Arial"/>
    </font>
    <font>
      <i/>
      <sz val="10"/>
      <color rgb="FF555555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6"/>
      <color rgb="FF1B365D"/>
      <name val="Arial"/>
    </font>
    <font>
      <b/>
      <sz val="9"/>
      <color rgb="FF777777"/>
      <name val="Arial"/>
    </font>
    <font>
      <b/>
      <sz val="20"/>
      <color rgb="FF1B365D"/>
      <name val="Arial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4F7FA"/>
        <bgColor rgb="FFF4F7FA"/>
      </patternFill>
    </fill>
    <fill>
      <patternFill patternType="solid">
        <fgColor rgb="FFF2F4F8"/>
        <bgColor rgb="FFF2F4F8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medium">
        <color rgb="FF1B365D"/>
      </top>
      <bottom style="thin">
        <color rgb="FFD3D3D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6" fillId="0" borderId="0" xfId="0" applyFont="1"/>
    <xf numFmtId="0" fontId="2" fillId="0" borderId="0" xfId="0" applyFont="1"/>
    <xf numFmtId="0" fontId="0" fillId="0" borderId="1" xfId="0" applyBorder="1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5" fontId="5" fillId="0" borderId="2" xfId="0" applyNumberFormat="1" applyFont="1" applyBorder="1" applyAlignment="1">
      <alignment horizontal="right" vertical="center"/>
    </xf>
    <xf numFmtId="165" fontId="8" fillId="4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8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Tren Perkembangan Total Score SKD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SKD'!$G$5</c:f>
              <c:strCache>
                <c:ptCount val="1"/>
                <c:pt idx="0">
                  <c:v>Total Score</c:v>
                </c:pt>
              </c:strCache>
            </c:strRef>
          </c:tx>
          <c:spPr>
            <a:ln w="30000">
              <a:solidFill>
                <a:srgbClr val="1B365D"/>
              </a:solidFill>
              <a:prstDash val="solid"/>
            </a:ln>
          </c:spPr>
          <c:marker>
            <c:symbol val="none"/>
          </c:marker>
          <c:cat>
            <c:numRef>
              <c:f>'Data SKD'!$A$6:$A$35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'Data SKD'!$G$6:$G$35</c:f>
              <c:numCache>
                <c:formatCode>#,##0</c:formatCode>
                <c:ptCount val="30"/>
                <c:pt idx="0">
                  <c:v>403</c:v>
                </c:pt>
                <c:pt idx="1">
                  <c:v>431</c:v>
                </c:pt>
                <c:pt idx="2">
                  <c:v>439</c:v>
                </c:pt>
                <c:pt idx="3">
                  <c:v>444</c:v>
                </c:pt>
                <c:pt idx="4">
                  <c:v>408</c:v>
                </c:pt>
                <c:pt idx="5">
                  <c:v>435</c:v>
                </c:pt>
                <c:pt idx="6">
                  <c:v>396</c:v>
                </c:pt>
                <c:pt idx="7">
                  <c:v>470</c:v>
                </c:pt>
                <c:pt idx="8">
                  <c:v>436</c:v>
                </c:pt>
                <c:pt idx="9">
                  <c:v>434</c:v>
                </c:pt>
                <c:pt idx="10">
                  <c:v>429</c:v>
                </c:pt>
                <c:pt idx="11">
                  <c:v>437</c:v>
                </c:pt>
                <c:pt idx="12">
                  <c:v>429</c:v>
                </c:pt>
                <c:pt idx="13">
                  <c:v>416</c:v>
                </c:pt>
                <c:pt idx="14">
                  <c:v>420</c:v>
                </c:pt>
                <c:pt idx="15">
                  <c:v>410</c:v>
                </c:pt>
                <c:pt idx="16">
                  <c:v>444</c:v>
                </c:pt>
                <c:pt idx="17">
                  <c:v>407</c:v>
                </c:pt>
                <c:pt idx="18">
                  <c:v>480</c:v>
                </c:pt>
                <c:pt idx="19">
                  <c:v>497</c:v>
                </c:pt>
                <c:pt idx="20">
                  <c:v>444</c:v>
                </c:pt>
                <c:pt idx="21">
                  <c:v>417</c:v>
                </c:pt>
                <c:pt idx="22">
                  <c:v>458</c:v>
                </c:pt>
                <c:pt idx="23">
                  <c:v>437</c:v>
                </c:pt>
                <c:pt idx="24">
                  <c:v>465</c:v>
                </c:pt>
                <c:pt idx="25">
                  <c:v>491</c:v>
                </c:pt>
                <c:pt idx="26">
                  <c:v>462</c:v>
                </c:pt>
                <c:pt idx="27">
                  <c:v>422</c:v>
                </c:pt>
                <c:pt idx="28">
                  <c:v>465</c:v>
                </c:pt>
                <c:pt idx="29">
                  <c:v>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B6-468D-AFD7-57492CDF8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Tryout Ke-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Score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7"/>
  <sheetViews>
    <sheetView workbookViewId="0">
      <selection activeCell="E5" sqref="E5:F5"/>
    </sheetView>
  </sheetViews>
  <sheetFormatPr defaultRowHeight="14.4" x14ac:dyDescent="0.3"/>
  <sheetData>
    <row r="2" spans="1:9" ht="21" x14ac:dyDescent="0.4">
      <c r="A2" s="1" t="s">
        <v>0</v>
      </c>
    </row>
    <row r="3" spans="1:9" x14ac:dyDescent="0.3">
      <c r="A3" s="2" t="s">
        <v>1</v>
      </c>
    </row>
    <row r="5" spans="1:9" x14ac:dyDescent="0.3">
      <c r="B5" s="21" t="s">
        <v>2</v>
      </c>
      <c r="C5" s="19"/>
      <c r="E5" s="21" t="s">
        <v>3</v>
      </c>
      <c r="F5" s="19"/>
      <c r="H5" s="21" t="s">
        <v>4</v>
      </c>
      <c r="I5" s="19"/>
    </row>
    <row r="6" spans="1:9" ht="24.6" x14ac:dyDescent="0.3">
      <c r="B6" s="22">
        <f>COUNTA('Data SKD'!B6:B35)</f>
        <v>30</v>
      </c>
      <c r="C6" s="19"/>
      <c r="E6" s="18">
        <f>'Data SKD'!G36</f>
        <v>437.73333333333335</v>
      </c>
      <c r="F6" s="19"/>
      <c r="H6" s="20">
        <f>MAX('Data SKD'!G6:G35)</f>
        <v>497</v>
      </c>
      <c r="I6" s="19"/>
    </row>
    <row r="7" spans="1:9" x14ac:dyDescent="0.3">
      <c r="B7" s="19"/>
      <c r="C7" s="19"/>
      <c r="E7" s="3"/>
      <c r="F7" s="3"/>
      <c r="H7" s="3"/>
      <c r="I7" s="3"/>
    </row>
  </sheetData>
  <mergeCells count="6">
    <mergeCell ref="E6:F6"/>
    <mergeCell ref="H6:I6"/>
    <mergeCell ref="B5:C5"/>
    <mergeCell ref="E5:F5"/>
    <mergeCell ref="B6:C7"/>
    <mergeCell ref="H5:I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36"/>
  <sheetViews>
    <sheetView tabSelected="1" topLeftCell="A13" workbookViewId="0">
      <selection activeCell="A32" sqref="A32"/>
    </sheetView>
  </sheetViews>
  <sheetFormatPr defaultRowHeight="14.4" x14ac:dyDescent="0.3"/>
  <cols>
    <col min="1" max="1" width="29.77734375" customWidth="1"/>
    <col min="2" max="2" width="20" customWidth="1"/>
    <col min="3" max="3" width="13" customWidth="1"/>
    <col min="4" max="7" width="19" customWidth="1"/>
    <col min="8" max="10" width="34" customWidth="1"/>
    <col min="11" max="11" width="25" customWidth="1"/>
  </cols>
  <sheetData>
    <row r="2" spans="1:11" ht="17.399999999999999" x14ac:dyDescent="0.3">
      <c r="A2" s="4" t="s">
        <v>47</v>
      </c>
    </row>
    <row r="3" spans="1:11" x14ac:dyDescent="0.3">
      <c r="A3" s="2"/>
    </row>
    <row r="5" spans="1:11" ht="25.05" customHeight="1" x14ac:dyDescent="0.3">
      <c r="A5" s="5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  <c r="I5" s="5" t="s">
        <v>13</v>
      </c>
      <c r="J5" s="5" t="s">
        <v>14</v>
      </c>
      <c r="K5" s="5" t="s">
        <v>15</v>
      </c>
    </row>
    <row r="6" spans="1:11" ht="19.95" customHeight="1" x14ac:dyDescent="0.3">
      <c r="A6" s="6">
        <v>1</v>
      </c>
      <c r="B6" s="7" t="s">
        <v>16</v>
      </c>
      <c r="C6" s="8">
        <v>46054</v>
      </c>
      <c r="D6" s="9">
        <v>55</v>
      </c>
      <c r="E6" s="9">
        <v>145</v>
      </c>
      <c r="F6" s="9">
        <v>203</v>
      </c>
      <c r="G6" s="9">
        <f t="shared" ref="G6:G35" si="0">SUM(D6:F6)</f>
        <v>403</v>
      </c>
      <c r="H6" s="6" t="str">
        <f t="shared" ref="H6:H35" si="1">IF(D6&gt;=115, "Lolos", "Tidak")</f>
        <v>Tidak</v>
      </c>
      <c r="I6" s="6" t="str">
        <f t="shared" ref="I6:I35" si="2">IF(E6&gt;=120, "Lolos", "Tidak")</f>
        <v>Lolos</v>
      </c>
      <c r="J6" s="6" t="str">
        <f t="shared" ref="J6:J35" si="3">IF(F6&gt;=205, "Lolos", "Tidak")</f>
        <v>Tidak</v>
      </c>
      <c r="K6" s="10" t="str">
        <f t="shared" ref="K6:K35" si="4">IF(AND(H6="Lolos", I6="Lolos", J6="Lolos"), "MEMENUHI ALL TARGET", "BELUM MEMENUHI")</f>
        <v>BELUM MEMENUHI</v>
      </c>
    </row>
    <row r="7" spans="1:11" ht="19.95" customHeight="1" x14ac:dyDescent="0.3">
      <c r="A7" s="11">
        <v>2</v>
      </c>
      <c r="B7" s="12" t="s">
        <v>17</v>
      </c>
      <c r="C7" s="13">
        <v>46062</v>
      </c>
      <c r="D7" s="14">
        <v>100</v>
      </c>
      <c r="E7" s="14">
        <v>125</v>
      </c>
      <c r="F7" s="14">
        <v>206</v>
      </c>
      <c r="G7" s="14">
        <f t="shared" si="0"/>
        <v>431</v>
      </c>
      <c r="H7" s="11" t="str">
        <f t="shared" si="1"/>
        <v>Tidak</v>
      </c>
      <c r="I7" s="11" t="str">
        <f t="shared" si="2"/>
        <v>Lolos</v>
      </c>
      <c r="J7" s="11" t="str">
        <f t="shared" si="3"/>
        <v>Lolos</v>
      </c>
      <c r="K7" s="15" t="str">
        <f t="shared" si="4"/>
        <v>BELUM MEMENUHI</v>
      </c>
    </row>
    <row r="8" spans="1:11" ht="19.95" customHeight="1" x14ac:dyDescent="0.3">
      <c r="A8" s="6">
        <v>3</v>
      </c>
      <c r="B8" s="7" t="s">
        <v>18</v>
      </c>
      <c r="C8" s="8">
        <v>46069</v>
      </c>
      <c r="D8" s="9">
        <v>105</v>
      </c>
      <c r="E8" s="9">
        <v>125</v>
      </c>
      <c r="F8" s="9">
        <v>209</v>
      </c>
      <c r="G8" s="9">
        <f t="shared" si="0"/>
        <v>439</v>
      </c>
      <c r="H8" s="6" t="str">
        <f t="shared" si="1"/>
        <v>Tidak</v>
      </c>
      <c r="I8" s="6" t="str">
        <f t="shared" si="2"/>
        <v>Lolos</v>
      </c>
      <c r="J8" s="6" t="str">
        <f t="shared" si="3"/>
        <v>Lolos</v>
      </c>
      <c r="K8" s="10" t="str">
        <f t="shared" si="4"/>
        <v>BELUM MEMENUHI</v>
      </c>
    </row>
    <row r="9" spans="1:11" ht="19.95" customHeight="1" x14ac:dyDescent="0.3">
      <c r="A9" s="11">
        <v>4</v>
      </c>
      <c r="B9" s="12" t="s">
        <v>19</v>
      </c>
      <c r="C9" s="13">
        <v>46095</v>
      </c>
      <c r="D9" s="14">
        <v>110</v>
      </c>
      <c r="E9" s="14">
        <v>125</v>
      </c>
      <c r="F9" s="14">
        <v>209</v>
      </c>
      <c r="G9" s="14">
        <f t="shared" si="0"/>
        <v>444</v>
      </c>
      <c r="H9" s="11" t="str">
        <f t="shared" si="1"/>
        <v>Tidak</v>
      </c>
      <c r="I9" s="11" t="str">
        <f t="shared" si="2"/>
        <v>Lolos</v>
      </c>
      <c r="J9" s="11" t="str">
        <f t="shared" si="3"/>
        <v>Lolos</v>
      </c>
      <c r="K9" s="15" t="str">
        <f t="shared" si="4"/>
        <v>BELUM MEMENUHI</v>
      </c>
    </row>
    <row r="10" spans="1:11" ht="19.95" customHeight="1" x14ac:dyDescent="0.3">
      <c r="A10" s="6">
        <v>5</v>
      </c>
      <c r="B10" s="7" t="s">
        <v>20</v>
      </c>
      <c r="C10" s="8">
        <v>46111</v>
      </c>
      <c r="D10" s="9">
        <v>85</v>
      </c>
      <c r="E10" s="9">
        <v>100</v>
      </c>
      <c r="F10" s="9">
        <v>223</v>
      </c>
      <c r="G10" s="9">
        <f t="shared" si="0"/>
        <v>408</v>
      </c>
      <c r="H10" s="6" t="str">
        <f t="shared" si="1"/>
        <v>Tidak</v>
      </c>
      <c r="I10" s="6" t="str">
        <f t="shared" si="2"/>
        <v>Tidak</v>
      </c>
      <c r="J10" s="6" t="str">
        <f t="shared" si="3"/>
        <v>Lolos</v>
      </c>
      <c r="K10" s="10" t="str">
        <f t="shared" si="4"/>
        <v>BELUM MEMENUHI</v>
      </c>
    </row>
    <row r="11" spans="1:11" ht="19.95" customHeight="1" x14ac:dyDescent="0.3">
      <c r="A11" s="11">
        <v>6</v>
      </c>
      <c r="B11" s="12" t="s">
        <v>21</v>
      </c>
      <c r="C11" s="13">
        <v>46118</v>
      </c>
      <c r="D11" s="14">
        <v>110</v>
      </c>
      <c r="E11" s="14">
        <v>130</v>
      </c>
      <c r="F11" s="14">
        <v>195</v>
      </c>
      <c r="G11" s="14">
        <f t="shared" si="0"/>
        <v>435</v>
      </c>
      <c r="H11" s="11" t="str">
        <f t="shared" si="1"/>
        <v>Tidak</v>
      </c>
      <c r="I11" s="11" t="str">
        <f t="shared" si="2"/>
        <v>Lolos</v>
      </c>
      <c r="J11" s="11" t="str">
        <f t="shared" si="3"/>
        <v>Tidak</v>
      </c>
      <c r="K11" s="15" t="str">
        <f t="shared" si="4"/>
        <v>BELUM MEMENUHI</v>
      </c>
    </row>
    <row r="12" spans="1:11" ht="19.95" customHeight="1" x14ac:dyDescent="0.3">
      <c r="A12" s="6">
        <v>7</v>
      </c>
      <c r="B12" s="7" t="s">
        <v>22</v>
      </c>
      <c r="C12" s="8">
        <v>46121</v>
      </c>
      <c r="D12" s="9">
        <v>110</v>
      </c>
      <c r="E12" s="9">
        <v>90</v>
      </c>
      <c r="F12" s="9">
        <v>196</v>
      </c>
      <c r="G12" s="9">
        <f t="shared" si="0"/>
        <v>396</v>
      </c>
      <c r="H12" s="6" t="str">
        <f t="shared" si="1"/>
        <v>Tidak</v>
      </c>
      <c r="I12" s="6" t="str">
        <f t="shared" si="2"/>
        <v>Tidak</v>
      </c>
      <c r="J12" s="6" t="str">
        <f t="shared" si="3"/>
        <v>Tidak</v>
      </c>
      <c r="K12" s="10" t="str">
        <f t="shared" si="4"/>
        <v>BELUM MEMENUHI</v>
      </c>
    </row>
    <row r="13" spans="1:11" ht="19.95" customHeight="1" x14ac:dyDescent="0.3">
      <c r="A13" s="11">
        <v>8</v>
      </c>
      <c r="B13" s="12" t="s">
        <v>23</v>
      </c>
      <c r="C13" s="13">
        <v>46127</v>
      </c>
      <c r="D13" s="14">
        <v>125</v>
      </c>
      <c r="E13" s="14">
        <v>130</v>
      </c>
      <c r="F13" s="14">
        <v>215</v>
      </c>
      <c r="G13" s="14">
        <f t="shared" si="0"/>
        <v>470</v>
      </c>
      <c r="H13" s="11" t="str">
        <f t="shared" si="1"/>
        <v>Lolos</v>
      </c>
      <c r="I13" s="11" t="str">
        <f t="shared" si="2"/>
        <v>Lolos</v>
      </c>
      <c r="J13" s="11" t="str">
        <f t="shared" si="3"/>
        <v>Lolos</v>
      </c>
      <c r="K13" s="15" t="str">
        <f t="shared" si="4"/>
        <v>MEMENUHI ALL TARGET</v>
      </c>
    </row>
    <row r="14" spans="1:11" ht="19.95" customHeight="1" x14ac:dyDescent="0.3">
      <c r="A14" s="6">
        <v>9</v>
      </c>
      <c r="B14" s="7" t="s">
        <v>24</v>
      </c>
      <c r="C14" s="8">
        <v>46136</v>
      </c>
      <c r="D14" s="9">
        <v>80</v>
      </c>
      <c r="E14" s="9">
        <v>140</v>
      </c>
      <c r="F14" s="9">
        <v>216</v>
      </c>
      <c r="G14" s="9">
        <f t="shared" si="0"/>
        <v>436</v>
      </c>
      <c r="H14" s="6" t="str">
        <f t="shared" si="1"/>
        <v>Tidak</v>
      </c>
      <c r="I14" s="6" t="str">
        <f t="shared" si="2"/>
        <v>Lolos</v>
      </c>
      <c r="J14" s="6" t="str">
        <f t="shared" si="3"/>
        <v>Lolos</v>
      </c>
      <c r="K14" s="10" t="str">
        <f t="shared" si="4"/>
        <v>BELUM MEMENUHI</v>
      </c>
    </row>
    <row r="15" spans="1:11" ht="19.95" customHeight="1" x14ac:dyDescent="0.3">
      <c r="A15" s="11">
        <v>10</v>
      </c>
      <c r="B15" s="12" t="s">
        <v>25</v>
      </c>
      <c r="C15" s="13">
        <v>46143</v>
      </c>
      <c r="D15" s="14">
        <v>100</v>
      </c>
      <c r="E15" s="14">
        <v>135</v>
      </c>
      <c r="F15" s="14">
        <v>199</v>
      </c>
      <c r="G15" s="14">
        <f t="shared" si="0"/>
        <v>434</v>
      </c>
      <c r="H15" s="11" t="str">
        <f t="shared" si="1"/>
        <v>Tidak</v>
      </c>
      <c r="I15" s="11" t="str">
        <f t="shared" si="2"/>
        <v>Lolos</v>
      </c>
      <c r="J15" s="11" t="str">
        <f t="shared" si="3"/>
        <v>Tidak</v>
      </c>
      <c r="K15" s="15" t="str">
        <f t="shared" si="4"/>
        <v>BELUM MEMENUHI</v>
      </c>
    </row>
    <row r="16" spans="1:11" ht="19.95" customHeight="1" x14ac:dyDescent="0.3">
      <c r="A16" s="6">
        <v>11</v>
      </c>
      <c r="B16" s="7" t="s">
        <v>26</v>
      </c>
      <c r="C16" s="8">
        <v>46147</v>
      </c>
      <c r="D16" s="9">
        <v>95</v>
      </c>
      <c r="E16" s="9">
        <v>130</v>
      </c>
      <c r="F16" s="9">
        <v>204</v>
      </c>
      <c r="G16" s="9">
        <f t="shared" si="0"/>
        <v>429</v>
      </c>
      <c r="H16" s="6" t="str">
        <f t="shared" si="1"/>
        <v>Tidak</v>
      </c>
      <c r="I16" s="6" t="str">
        <f t="shared" si="2"/>
        <v>Lolos</v>
      </c>
      <c r="J16" s="6" t="str">
        <f t="shared" si="3"/>
        <v>Tidak</v>
      </c>
      <c r="K16" s="10" t="str">
        <f t="shared" si="4"/>
        <v>BELUM MEMENUHI</v>
      </c>
    </row>
    <row r="17" spans="1:11" ht="19.95" customHeight="1" x14ac:dyDescent="0.3">
      <c r="A17" s="11">
        <v>12</v>
      </c>
      <c r="B17" s="12" t="s">
        <v>27</v>
      </c>
      <c r="C17" s="13">
        <v>46150</v>
      </c>
      <c r="D17" s="14">
        <v>100</v>
      </c>
      <c r="E17" s="14">
        <v>130</v>
      </c>
      <c r="F17" s="14">
        <v>207</v>
      </c>
      <c r="G17" s="14">
        <f t="shared" si="0"/>
        <v>437</v>
      </c>
      <c r="H17" s="11" t="str">
        <f t="shared" si="1"/>
        <v>Tidak</v>
      </c>
      <c r="I17" s="11" t="str">
        <f t="shared" si="2"/>
        <v>Lolos</v>
      </c>
      <c r="J17" s="11" t="str">
        <f t="shared" si="3"/>
        <v>Lolos</v>
      </c>
      <c r="K17" s="15" t="str">
        <f t="shared" si="4"/>
        <v>BELUM MEMENUHI</v>
      </c>
    </row>
    <row r="18" spans="1:11" ht="19.95" customHeight="1" x14ac:dyDescent="0.3">
      <c r="A18" s="6">
        <v>13</v>
      </c>
      <c r="B18" s="7" t="s">
        <v>28</v>
      </c>
      <c r="C18" s="8">
        <v>46154</v>
      </c>
      <c r="D18" s="9">
        <v>120</v>
      </c>
      <c r="E18" s="9">
        <v>105</v>
      </c>
      <c r="F18" s="9">
        <v>204</v>
      </c>
      <c r="G18" s="9">
        <f t="shared" si="0"/>
        <v>429</v>
      </c>
      <c r="H18" s="6" t="str">
        <f t="shared" si="1"/>
        <v>Lolos</v>
      </c>
      <c r="I18" s="6" t="str">
        <f t="shared" si="2"/>
        <v>Tidak</v>
      </c>
      <c r="J18" s="6" t="str">
        <f t="shared" si="3"/>
        <v>Tidak</v>
      </c>
      <c r="K18" s="10" t="str">
        <f t="shared" si="4"/>
        <v>BELUM MEMENUHI</v>
      </c>
    </row>
    <row r="19" spans="1:11" ht="19.95" customHeight="1" x14ac:dyDescent="0.3">
      <c r="A19" s="11">
        <v>14</v>
      </c>
      <c r="B19" s="12" t="s">
        <v>29</v>
      </c>
      <c r="C19" s="13">
        <v>46156</v>
      </c>
      <c r="D19" s="14">
        <v>95</v>
      </c>
      <c r="E19" s="14">
        <v>115</v>
      </c>
      <c r="F19" s="14">
        <v>206</v>
      </c>
      <c r="G19" s="14">
        <f t="shared" si="0"/>
        <v>416</v>
      </c>
      <c r="H19" s="11" t="str">
        <f t="shared" si="1"/>
        <v>Tidak</v>
      </c>
      <c r="I19" s="11" t="str">
        <f t="shared" si="2"/>
        <v>Tidak</v>
      </c>
      <c r="J19" s="11" t="str">
        <f t="shared" si="3"/>
        <v>Lolos</v>
      </c>
      <c r="K19" s="15" t="str">
        <f t="shared" si="4"/>
        <v>BELUM MEMENUHI</v>
      </c>
    </row>
    <row r="20" spans="1:11" ht="19.95" customHeight="1" x14ac:dyDescent="0.3">
      <c r="A20" s="6">
        <v>15</v>
      </c>
      <c r="B20" s="7" t="s">
        <v>30</v>
      </c>
      <c r="C20" s="8">
        <v>46160</v>
      </c>
      <c r="D20" s="9">
        <v>85</v>
      </c>
      <c r="E20" s="9">
        <v>125</v>
      </c>
      <c r="F20" s="9">
        <v>210</v>
      </c>
      <c r="G20" s="9">
        <f t="shared" si="0"/>
        <v>420</v>
      </c>
      <c r="H20" s="6" t="str">
        <f t="shared" si="1"/>
        <v>Tidak</v>
      </c>
      <c r="I20" s="6" t="str">
        <f t="shared" si="2"/>
        <v>Lolos</v>
      </c>
      <c r="J20" s="6" t="str">
        <f t="shared" si="3"/>
        <v>Lolos</v>
      </c>
      <c r="K20" s="10" t="str">
        <f t="shared" si="4"/>
        <v>BELUM MEMENUHI</v>
      </c>
    </row>
    <row r="21" spans="1:11" ht="19.95" customHeight="1" x14ac:dyDescent="0.3">
      <c r="A21" s="11">
        <v>16</v>
      </c>
      <c r="B21" s="12" t="s">
        <v>31</v>
      </c>
      <c r="C21" s="13">
        <v>46163</v>
      </c>
      <c r="D21" s="14">
        <v>100</v>
      </c>
      <c r="E21" s="14">
        <v>110</v>
      </c>
      <c r="F21" s="14">
        <v>200</v>
      </c>
      <c r="G21" s="14">
        <f t="shared" si="0"/>
        <v>410</v>
      </c>
      <c r="H21" s="11" t="str">
        <f t="shared" si="1"/>
        <v>Tidak</v>
      </c>
      <c r="I21" s="11" t="str">
        <f t="shared" si="2"/>
        <v>Tidak</v>
      </c>
      <c r="J21" s="11" t="str">
        <f t="shared" si="3"/>
        <v>Tidak</v>
      </c>
      <c r="K21" s="15" t="str">
        <f t="shared" si="4"/>
        <v>BELUM MEMENUHI</v>
      </c>
    </row>
    <row r="22" spans="1:11" ht="19.95" customHeight="1" x14ac:dyDescent="0.3">
      <c r="A22" s="6">
        <v>17</v>
      </c>
      <c r="B22" s="7" t="s">
        <v>32</v>
      </c>
      <c r="C22" s="8">
        <v>46167</v>
      </c>
      <c r="D22" s="9">
        <v>115</v>
      </c>
      <c r="E22" s="9">
        <v>125</v>
      </c>
      <c r="F22" s="9">
        <v>204</v>
      </c>
      <c r="G22" s="9">
        <f t="shared" si="0"/>
        <v>444</v>
      </c>
      <c r="H22" s="6" t="str">
        <f t="shared" si="1"/>
        <v>Lolos</v>
      </c>
      <c r="I22" s="6" t="str">
        <f t="shared" si="2"/>
        <v>Lolos</v>
      </c>
      <c r="J22" s="6" t="str">
        <f t="shared" si="3"/>
        <v>Tidak</v>
      </c>
      <c r="K22" s="10" t="str">
        <f t="shared" si="4"/>
        <v>BELUM MEMENUHI</v>
      </c>
    </row>
    <row r="23" spans="1:11" ht="19.95" customHeight="1" x14ac:dyDescent="0.3">
      <c r="A23" s="11">
        <v>18</v>
      </c>
      <c r="B23" s="12" t="s">
        <v>33</v>
      </c>
      <c r="C23" s="13">
        <v>46176</v>
      </c>
      <c r="D23" s="14">
        <v>85</v>
      </c>
      <c r="E23" s="14">
        <v>140</v>
      </c>
      <c r="F23" s="14">
        <v>182</v>
      </c>
      <c r="G23" s="14">
        <f t="shared" si="0"/>
        <v>407</v>
      </c>
      <c r="H23" s="11" t="str">
        <f t="shared" si="1"/>
        <v>Tidak</v>
      </c>
      <c r="I23" s="11" t="str">
        <f t="shared" si="2"/>
        <v>Lolos</v>
      </c>
      <c r="J23" s="11" t="str">
        <f t="shared" si="3"/>
        <v>Tidak</v>
      </c>
      <c r="K23" s="15" t="str">
        <f t="shared" si="4"/>
        <v>BELUM MEMENUHI</v>
      </c>
    </row>
    <row r="24" spans="1:11" ht="19.95" customHeight="1" x14ac:dyDescent="0.3">
      <c r="A24" s="6">
        <v>19</v>
      </c>
      <c r="B24" s="7" t="s">
        <v>34</v>
      </c>
      <c r="C24" s="8">
        <v>46181</v>
      </c>
      <c r="D24" s="9">
        <v>110</v>
      </c>
      <c r="E24" s="9">
        <v>155</v>
      </c>
      <c r="F24" s="9">
        <v>215</v>
      </c>
      <c r="G24" s="9">
        <f t="shared" si="0"/>
        <v>480</v>
      </c>
      <c r="H24" s="6" t="str">
        <f t="shared" si="1"/>
        <v>Tidak</v>
      </c>
      <c r="I24" s="6" t="str">
        <f t="shared" si="2"/>
        <v>Lolos</v>
      </c>
      <c r="J24" s="6" t="str">
        <f t="shared" si="3"/>
        <v>Lolos</v>
      </c>
      <c r="K24" s="10" t="str">
        <f t="shared" si="4"/>
        <v>BELUM MEMENUHI</v>
      </c>
    </row>
    <row r="25" spans="1:11" ht="19.95" customHeight="1" x14ac:dyDescent="0.3">
      <c r="A25" s="11">
        <v>20</v>
      </c>
      <c r="B25" s="12" t="s">
        <v>35</v>
      </c>
      <c r="C25" s="13">
        <v>46183</v>
      </c>
      <c r="D25" s="14">
        <v>130</v>
      </c>
      <c r="E25" s="14">
        <v>145</v>
      </c>
      <c r="F25" s="14">
        <v>222</v>
      </c>
      <c r="G25" s="14">
        <f t="shared" si="0"/>
        <v>497</v>
      </c>
      <c r="H25" s="11" t="str">
        <f t="shared" si="1"/>
        <v>Lolos</v>
      </c>
      <c r="I25" s="11" t="str">
        <f t="shared" si="2"/>
        <v>Lolos</v>
      </c>
      <c r="J25" s="11" t="str">
        <f t="shared" si="3"/>
        <v>Lolos</v>
      </c>
      <c r="K25" s="15" t="str">
        <f t="shared" si="4"/>
        <v>MEMENUHI ALL TARGET</v>
      </c>
    </row>
    <row r="26" spans="1:11" ht="19.95" customHeight="1" x14ac:dyDescent="0.3">
      <c r="A26" s="6">
        <v>21</v>
      </c>
      <c r="B26" s="7" t="s">
        <v>36</v>
      </c>
      <c r="C26" s="8">
        <v>46188</v>
      </c>
      <c r="D26" s="9">
        <v>105</v>
      </c>
      <c r="E26" s="9">
        <v>135</v>
      </c>
      <c r="F26" s="9">
        <v>204</v>
      </c>
      <c r="G26" s="9">
        <f t="shared" si="0"/>
        <v>444</v>
      </c>
      <c r="H26" s="6" t="str">
        <f t="shared" si="1"/>
        <v>Tidak</v>
      </c>
      <c r="I26" s="6" t="str">
        <f t="shared" si="2"/>
        <v>Lolos</v>
      </c>
      <c r="J26" s="6" t="str">
        <f t="shared" si="3"/>
        <v>Tidak</v>
      </c>
      <c r="K26" s="10" t="str">
        <f t="shared" si="4"/>
        <v>BELUM MEMENUHI</v>
      </c>
    </row>
    <row r="27" spans="1:11" ht="19.95" customHeight="1" x14ac:dyDescent="0.3">
      <c r="A27" s="11">
        <v>22</v>
      </c>
      <c r="B27" s="12" t="s">
        <v>37</v>
      </c>
      <c r="C27" s="13">
        <v>46190</v>
      </c>
      <c r="D27" s="14">
        <v>95</v>
      </c>
      <c r="E27" s="14">
        <v>115</v>
      </c>
      <c r="F27" s="14">
        <v>207</v>
      </c>
      <c r="G27" s="14">
        <f t="shared" si="0"/>
        <v>417</v>
      </c>
      <c r="H27" s="11" t="str">
        <f t="shared" si="1"/>
        <v>Tidak</v>
      </c>
      <c r="I27" s="11" t="str">
        <f t="shared" si="2"/>
        <v>Tidak</v>
      </c>
      <c r="J27" s="11" t="str">
        <f t="shared" si="3"/>
        <v>Lolos</v>
      </c>
      <c r="K27" s="15" t="str">
        <f t="shared" si="4"/>
        <v>BELUM MEMENUHI</v>
      </c>
    </row>
    <row r="28" spans="1:11" ht="19.95" customHeight="1" x14ac:dyDescent="0.3">
      <c r="A28" s="6">
        <v>23</v>
      </c>
      <c r="B28" s="7" t="s">
        <v>38</v>
      </c>
      <c r="C28" s="8">
        <v>46192</v>
      </c>
      <c r="D28" s="9">
        <v>120</v>
      </c>
      <c r="E28" s="9">
        <v>135</v>
      </c>
      <c r="F28" s="9">
        <v>203</v>
      </c>
      <c r="G28" s="9">
        <f t="shared" si="0"/>
        <v>458</v>
      </c>
      <c r="H28" s="6" t="str">
        <f t="shared" si="1"/>
        <v>Lolos</v>
      </c>
      <c r="I28" s="6" t="str">
        <f t="shared" si="2"/>
        <v>Lolos</v>
      </c>
      <c r="J28" s="6" t="str">
        <f t="shared" si="3"/>
        <v>Tidak</v>
      </c>
      <c r="K28" s="10" t="str">
        <f t="shared" si="4"/>
        <v>BELUM MEMENUHI</v>
      </c>
    </row>
    <row r="29" spans="1:11" ht="19.95" customHeight="1" x14ac:dyDescent="0.3">
      <c r="A29" s="11">
        <v>24</v>
      </c>
      <c r="B29" s="12" t="s">
        <v>39</v>
      </c>
      <c r="C29" s="13">
        <v>46195</v>
      </c>
      <c r="D29" s="14">
        <v>90</v>
      </c>
      <c r="E29" s="14">
        <v>135</v>
      </c>
      <c r="F29" s="14">
        <v>212</v>
      </c>
      <c r="G29" s="14">
        <f t="shared" si="0"/>
        <v>437</v>
      </c>
      <c r="H29" s="11" t="str">
        <f t="shared" si="1"/>
        <v>Tidak</v>
      </c>
      <c r="I29" s="11" t="str">
        <f t="shared" si="2"/>
        <v>Lolos</v>
      </c>
      <c r="J29" s="11" t="str">
        <f t="shared" si="3"/>
        <v>Lolos</v>
      </c>
      <c r="K29" s="15" t="str">
        <f t="shared" si="4"/>
        <v>BELUM MEMENUHI</v>
      </c>
    </row>
    <row r="30" spans="1:11" ht="19.95" customHeight="1" x14ac:dyDescent="0.3">
      <c r="A30" s="6">
        <v>25</v>
      </c>
      <c r="B30" s="7" t="s">
        <v>40</v>
      </c>
      <c r="C30" s="8">
        <v>46198</v>
      </c>
      <c r="D30" s="9">
        <v>135</v>
      </c>
      <c r="E30" s="9">
        <v>130</v>
      </c>
      <c r="F30" s="9">
        <v>200</v>
      </c>
      <c r="G30" s="9">
        <f t="shared" si="0"/>
        <v>465</v>
      </c>
      <c r="H30" s="6" t="str">
        <f t="shared" si="1"/>
        <v>Lolos</v>
      </c>
      <c r="I30" s="6" t="str">
        <f t="shared" si="2"/>
        <v>Lolos</v>
      </c>
      <c r="J30" s="6" t="str">
        <f t="shared" si="3"/>
        <v>Tidak</v>
      </c>
      <c r="K30" s="10" t="str">
        <f t="shared" si="4"/>
        <v>BELUM MEMENUHI</v>
      </c>
    </row>
    <row r="31" spans="1:11" ht="19.95" customHeight="1" x14ac:dyDescent="0.3">
      <c r="A31" s="11">
        <v>26</v>
      </c>
      <c r="B31" s="12" t="s">
        <v>41</v>
      </c>
      <c r="C31" s="13">
        <v>46213</v>
      </c>
      <c r="D31" s="14">
        <v>130</v>
      </c>
      <c r="E31" s="14">
        <v>150</v>
      </c>
      <c r="F31" s="14">
        <v>211</v>
      </c>
      <c r="G31" s="14">
        <f t="shared" si="0"/>
        <v>491</v>
      </c>
      <c r="H31" s="11" t="str">
        <f t="shared" si="1"/>
        <v>Lolos</v>
      </c>
      <c r="I31" s="11" t="str">
        <f t="shared" si="2"/>
        <v>Lolos</v>
      </c>
      <c r="J31" s="11" t="str">
        <f t="shared" si="3"/>
        <v>Lolos</v>
      </c>
      <c r="K31" s="15" t="str">
        <f t="shared" si="4"/>
        <v>MEMENUHI ALL TARGET</v>
      </c>
    </row>
    <row r="32" spans="1:11" ht="19.95" customHeight="1" x14ac:dyDescent="0.3">
      <c r="A32" s="6">
        <v>27</v>
      </c>
      <c r="B32" s="7" t="s">
        <v>42</v>
      </c>
      <c r="C32" s="8">
        <v>46216</v>
      </c>
      <c r="D32" s="9">
        <v>135</v>
      </c>
      <c r="E32" s="9">
        <v>120</v>
      </c>
      <c r="F32" s="9">
        <v>207</v>
      </c>
      <c r="G32" s="9">
        <f t="shared" si="0"/>
        <v>462</v>
      </c>
      <c r="H32" s="6" t="str">
        <f t="shared" si="1"/>
        <v>Lolos</v>
      </c>
      <c r="I32" s="6" t="str">
        <f t="shared" si="2"/>
        <v>Lolos</v>
      </c>
      <c r="J32" s="6" t="str">
        <f t="shared" si="3"/>
        <v>Lolos</v>
      </c>
      <c r="K32" s="10" t="str">
        <f t="shared" si="4"/>
        <v>MEMENUHI ALL TARGET</v>
      </c>
    </row>
    <row r="33" spans="1:11" ht="19.95" customHeight="1" x14ac:dyDescent="0.3">
      <c r="A33" s="11">
        <v>28</v>
      </c>
      <c r="B33" s="12" t="s">
        <v>43</v>
      </c>
      <c r="C33" s="13">
        <v>46219</v>
      </c>
      <c r="D33" s="14">
        <v>105</v>
      </c>
      <c r="E33" s="14">
        <v>115</v>
      </c>
      <c r="F33" s="14">
        <v>202</v>
      </c>
      <c r="G33" s="14">
        <f t="shared" si="0"/>
        <v>422</v>
      </c>
      <c r="H33" s="11" t="str">
        <f t="shared" si="1"/>
        <v>Tidak</v>
      </c>
      <c r="I33" s="11" t="str">
        <f t="shared" si="2"/>
        <v>Tidak</v>
      </c>
      <c r="J33" s="11" t="str">
        <f t="shared" si="3"/>
        <v>Tidak</v>
      </c>
      <c r="K33" s="15" t="str">
        <f t="shared" si="4"/>
        <v>BELUM MEMENUHI</v>
      </c>
    </row>
    <row r="34" spans="1:11" ht="19.95" customHeight="1" x14ac:dyDescent="0.3">
      <c r="A34" s="6">
        <v>29</v>
      </c>
      <c r="B34" s="7" t="s">
        <v>44</v>
      </c>
      <c r="C34" s="8">
        <v>46220</v>
      </c>
      <c r="D34" s="9">
        <v>130</v>
      </c>
      <c r="E34" s="9">
        <v>140</v>
      </c>
      <c r="F34" s="9">
        <v>195</v>
      </c>
      <c r="G34" s="9">
        <f t="shared" si="0"/>
        <v>465</v>
      </c>
      <c r="H34" s="6" t="str">
        <f t="shared" si="1"/>
        <v>Lolos</v>
      </c>
      <c r="I34" s="6" t="str">
        <f t="shared" si="2"/>
        <v>Lolos</v>
      </c>
      <c r="J34" s="6" t="str">
        <f t="shared" si="3"/>
        <v>Tidak</v>
      </c>
      <c r="K34" s="10" t="str">
        <f t="shared" si="4"/>
        <v>BELUM MEMENUHI</v>
      </c>
    </row>
    <row r="35" spans="1:11" ht="19.95" customHeight="1" x14ac:dyDescent="0.3">
      <c r="A35" s="11">
        <v>30</v>
      </c>
      <c r="B35" s="12" t="s">
        <v>45</v>
      </c>
      <c r="C35" s="13">
        <v>46223</v>
      </c>
      <c r="D35" s="14">
        <v>105</v>
      </c>
      <c r="E35" s="14">
        <v>115</v>
      </c>
      <c r="F35" s="14">
        <v>186</v>
      </c>
      <c r="G35" s="14">
        <f t="shared" si="0"/>
        <v>406</v>
      </c>
      <c r="H35" s="11" t="str">
        <f t="shared" si="1"/>
        <v>Tidak</v>
      </c>
      <c r="I35" s="11" t="str">
        <f t="shared" si="2"/>
        <v>Tidak</v>
      </c>
      <c r="J35" s="11" t="str">
        <f t="shared" si="3"/>
        <v>Tidak</v>
      </c>
      <c r="K35" s="15" t="str">
        <f t="shared" si="4"/>
        <v>BELUM MEMENUHI</v>
      </c>
    </row>
    <row r="36" spans="1:11" x14ac:dyDescent="0.3">
      <c r="B36" s="16" t="s">
        <v>46</v>
      </c>
      <c r="D36" s="17">
        <f>AVERAGE(D6:D35)</f>
        <v>105.5</v>
      </c>
      <c r="E36" s="17">
        <f>AVERAGE(E6:E35)</f>
        <v>127.16666666666667</v>
      </c>
      <c r="F36" s="17">
        <f>AVERAGE(F6:F35)</f>
        <v>205.06666666666666</v>
      </c>
      <c r="G36" s="17">
        <f>AVERAGE(G6:G35)</f>
        <v>437.73333333333335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 &amp; Summary</vt:lpstr>
      <vt:lpstr>Data SKD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 14 EK2333TU</cp:lastModifiedBy>
  <dcterms:created xsi:type="dcterms:W3CDTF">2026-07-29T06:16:39Z</dcterms:created>
  <dcterms:modified xsi:type="dcterms:W3CDTF">2026-07-29T06:36:54Z</dcterms:modified>
</cp:coreProperties>
</file>